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kumen\14-12-23 (PENYURATAN)\INVOICE\CCTV\"/>
    </mc:Choice>
  </mc:AlternateContent>
  <xr:revisionPtr revIDLastSave="0" documentId="13_ncr:1_{6DE9CBFD-B39D-4D45-9068-E5FDDC47D9CC}" xr6:coauthVersionLast="47" xr6:coauthVersionMax="47" xr10:uidLastSave="{00000000-0000-0000-0000-000000000000}"/>
  <bookViews>
    <workbookView xWindow="-120" yWindow="-120" windowWidth="29040" windowHeight="15720" xr2:uid="{A9F007F5-B6FB-4DAD-9B52-EE0C13151F2D}"/>
  </bookViews>
  <sheets>
    <sheet name="Sheet1" sheetId="1" r:id="rId1"/>
  </sheets>
  <definedNames>
    <definedName name="_xlnm.Print_Area" localSheetId="0">Sheet1!$A$1:$I$53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7" i="1" l="1"/>
  <c r="H18" i="1"/>
  <c r="A16" i="1"/>
  <c r="H16" i="1"/>
  <c r="H26" i="1" l="1"/>
  <c r="H29" i="1" s="1"/>
</calcChain>
</file>

<file path=xl/sharedStrings.xml><?xml version="1.0" encoding="utf-8"?>
<sst xmlns="http://schemas.openxmlformats.org/spreadsheetml/2006/main" count="42" uniqueCount="39">
  <si>
    <t>No. Invoice</t>
  </si>
  <si>
    <t>No. SPK / PO</t>
  </si>
  <si>
    <t>No.</t>
  </si>
  <si>
    <t>Unit</t>
  </si>
  <si>
    <t>FACHRUR ROZI</t>
  </si>
  <si>
    <t>BRI</t>
  </si>
  <si>
    <t>BCA</t>
  </si>
  <si>
    <t>CV. ROZITECH MULTIMEDIA INDONESIA</t>
  </si>
  <si>
    <t>Sub Total</t>
  </si>
  <si>
    <t>Total</t>
  </si>
  <si>
    <t>Date</t>
  </si>
  <si>
    <t xml:space="preserve"> : 621001017663537</t>
  </si>
  <si>
    <t xml:space="preserve"> : 7415234155</t>
  </si>
  <si>
    <t>Bill To :</t>
  </si>
  <si>
    <t>Special notes and instruction :</t>
  </si>
  <si>
    <t>TERMS</t>
  </si>
  <si>
    <t>Description</t>
  </si>
  <si>
    <t>QTY</t>
  </si>
  <si>
    <t>Unit Price</t>
  </si>
  <si>
    <t>Total Price (Rp)</t>
  </si>
  <si>
    <t xml:space="preserve">BCA </t>
  </si>
  <si>
    <t xml:space="preserve"> : 7415941111</t>
  </si>
  <si>
    <t>Rozitech Multimedia Indonesia</t>
  </si>
  <si>
    <t>Transfer Via:</t>
  </si>
  <si>
    <t>Director</t>
  </si>
  <si>
    <t>:</t>
  </si>
  <si>
    <t>Down Payment</t>
  </si>
  <si>
    <r>
      <rPr>
        <b/>
        <sz val="11"/>
        <color theme="1"/>
        <rFont val="Roboto"/>
      </rPr>
      <t>CV. ROZITECH MULTIMEDIA INDONESIA</t>
    </r>
    <r>
      <rPr>
        <sz val="11"/>
        <color theme="1"/>
        <rFont val="Roboto"/>
      </rPr>
      <t xml:space="preserve">
IT CONSULTANT | NETWORKING | IT SECURITY
</t>
    </r>
    <r>
      <rPr>
        <i/>
        <sz val="11"/>
        <color theme="1"/>
        <rFont val="Roboto"/>
      </rPr>
      <t>Jl. Desa Leran RT 01 RW 01, Manyar, Gresik, Telp : (0821) 8782 7382, (0856) 0411 8932 
Email: rozitech.gsk@gmail.com, Website: rozitech.co.id</t>
    </r>
  </si>
  <si>
    <t>pcs</t>
  </si>
  <si>
    <t>Discount</t>
  </si>
  <si>
    <t>: INV/20260523/CA/CTV/34</t>
  </si>
  <si>
    <t>: 23 / 05 / 2026</t>
  </si>
  <si>
    <t>CCTV PTZ Onvif</t>
  </si>
  <si>
    <t>Jasa Install dan Material (Fitting, Tiang 6M 1,1/4 dim, Kabel)</t>
  </si>
  <si>
    <t>Jasa Pasang Wifi dan Aktivasi Internet</t>
  </si>
  <si>
    <t>: 1 Days</t>
  </si>
  <si>
    <t>PT. ADITYA SINAR PRATAMA</t>
  </si>
  <si>
    <t>HARU ARDIAN</t>
  </si>
  <si>
    <t>Layanan akses internet, IP Public, dan server dipinjamkan selama masa penggunaan layanan.
Tagihan periode berikutnya dikenakan biaya Internet 2 layanan sebesar Rp200.000 dan sewa IP Public &amp; server sebesar Rp70.000.
Total tagihan bulan berikutnya mulai bulan Juli sebesar Rp270.000
Pembayaran tagihan dilakukan paling lambat tanggal 10 setiap 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</si>
</sst>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p-421]#,##0"/>
    <numFmt numFmtId="165" formatCode="&quot;Rp&quot;#,##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Roboto"/>
    </font>
    <font>
      <b/>
      <sz val="11"/>
      <color theme="1"/>
      <name val="Roboto"/>
    </font>
    <font>
      <i/>
      <sz val="11"/>
      <color theme="1"/>
      <name val="Roboto"/>
    </font>
    <font>
      <sz val="12"/>
      <color theme="1"/>
      <name val="Roboto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Roboto"/>
    </font>
    <font>
      <b/>
      <u/>
      <sz val="10"/>
      <color rgb="FF000000"/>
      <name val="Roboto"/>
    </font>
    <font>
      <sz val="10"/>
      <color theme="1"/>
      <name val="Roboto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164" fontId="0" fillId="0" borderId="0" xfId="0" applyNumberFormat="1"/>
    <xf numFmtId="0" fontId="0" fillId="0" borderId="0" xfId="0" applyAlignment="1">
      <alignment horizontal="left"/>
    </xf>
    <xf numFmtId="0" fontId="6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164" fontId="7" fillId="0" borderId="0" xfId="0" applyNumberFormat="1" applyFont="1"/>
    <xf numFmtId="0" fontId="0" fillId="0" borderId="0" xfId="0" applyAlignment="1">
      <alignment vertical="center"/>
    </xf>
    <xf numFmtId="164" fontId="1" fillId="0" borderId="2" xfId="0" applyNumberFormat="1" applyFont="1" applyBorder="1"/>
    <xf numFmtId="165" fontId="0" fillId="0" borderId="0" xfId="0" applyNumberFormat="1" applyAlignment="1">
      <alignment horizontal="right"/>
    </xf>
    <xf numFmtId="0" fontId="10" fillId="0" borderId="0" xfId="0" applyFont="1" applyAlignment="1">
      <alignment horizontal="left"/>
    </xf>
    <xf numFmtId="0" fontId="9" fillId="0" borderId="0" xfId="0" applyFont="1"/>
    <xf numFmtId="165" fontId="0" fillId="0" borderId="0" xfId="0" applyNumberFormat="1"/>
    <xf numFmtId="0" fontId="0" fillId="0" borderId="0" xfId="0" applyAlignment="1">
      <alignment horizontal="center"/>
    </xf>
    <xf numFmtId="165" fontId="1" fillId="0" borderId="2" xfId="0" applyNumberFormat="1" applyFont="1" applyBorder="1"/>
    <xf numFmtId="164" fontId="1" fillId="0" borderId="0" xfId="0" applyNumberFormat="1" applyFont="1"/>
    <xf numFmtId="165" fontId="1" fillId="0" borderId="0" xfId="0" applyNumberFormat="1" applyFont="1"/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left" vertical="center"/>
    </xf>
    <xf numFmtId="164" fontId="7" fillId="2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2" fillId="0" borderId="0" xfId="0" applyFont="1"/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165" fontId="0" fillId="0" borderId="3" xfId="0" applyNumberFormat="1" applyBorder="1" applyAlignment="1">
      <alignment horizontal="right"/>
    </xf>
    <xf numFmtId="0" fontId="0" fillId="0" borderId="2" xfId="0" applyBorder="1" applyAlignment="1">
      <alignment horizontal="center" vertical="center"/>
    </xf>
    <xf numFmtId="164" fontId="0" fillId="0" borderId="6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165" fontId="0" fillId="0" borderId="2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2" xfId="0" applyNumberFormat="1" applyBorder="1" applyAlignment="1">
      <alignment horizontal="right"/>
    </xf>
    <xf numFmtId="165" fontId="1" fillId="0" borderId="3" xfId="0" applyNumberFormat="1" applyFont="1" applyBorder="1"/>
    <xf numFmtId="164" fontId="0" fillId="0" borderId="2" xfId="0" applyNumberFormat="1" applyBorder="1" applyAlignment="1">
      <alignment horizontal="right" vertical="center"/>
    </xf>
    <xf numFmtId="165" fontId="0" fillId="0" borderId="3" xfId="0" applyNumberFormat="1" applyBorder="1" applyAlignment="1">
      <alignment horizontal="right" vertical="center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0" fillId="2" borderId="1" xfId="0" applyFill="1" applyBorder="1" applyAlignment="1">
      <alignment horizontal="left" vertical="top"/>
    </xf>
    <xf numFmtId="164" fontId="13" fillId="0" borderId="0" xfId="0" applyNumberFormat="1" applyFont="1" applyAlignment="1">
      <alignment horizontal="left"/>
    </xf>
    <xf numFmtId="164" fontId="12" fillId="0" borderId="0" xfId="0" applyNumberFormat="1" applyFont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165" fontId="1" fillId="0" borderId="0" xfId="0" applyNumberFormat="1" applyFont="1" applyBorder="1"/>
    <xf numFmtId="0" fontId="1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microsoft.com/office/2007/relationships/hdphoto" Target="../media/hdphoto2.wdp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57149</xdr:rowOff>
    </xdr:from>
    <xdr:ext cx="917619" cy="504825"/>
    <xdr:pic>
      <xdr:nvPicPr>
        <xdr:cNvPr id="2" name="Picture 1">
          <a:extLst>
            <a:ext uri="{FF2B5EF4-FFF2-40B4-BE49-F238E27FC236}">
              <a16:creationId xmlns:a16="http://schemas.microsoft.com/office/drawing/2014/main" id="{013FB130-A745-473D-AF9D-2761CD351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57149"/>
          <a:ext cx="917619" cy="504825"/>
        </a:xfrm>
        <a:prstGeom prst="rect">
          <a:avLst/>
        </a:prstGeom>
        <a:effectLst>
          <a:innerShdw blurRad="63500" dist="50800" dir="13500000">
            <a:prstClr val="black">
              <a:alpha val="50000"/>
            </a:prstClr>
          </a:innerShdw>
        </a:effectLst>
      </xdr:spPr>
    </xdr:pic>
    <xdr:clientData/>
  </xdr:oneCellAnchor>
  <xdr:twoCellAnchor>
    <xdr:from>
      <xdr:col>0</xdr:col>
      <xdr:colOff>0</xdr:colOff>
      <xdr:row>5</xdr:row>
      <xdr:rowOff>47625</xdr:rowOff>
    </xdr:from>
    <xdr:to>
      <xdr:col>3</xdr:col>
      <xdr:colOff>2600325</xdr:colOff>
      <xdr:row>7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6F57C3A-F9F6-445C-955C-5A03BED02CBE}"/>
            </a:ext>
          </a:extLst>
        </xdr:cNvPr>
        <xdr:cNvSpPr txBox="1"/>
      </xdr:nvSpPr>
      <xdr:spPr>
        <a:xfrm>
          <a:off x="0" y="1009650"/>
          <a:ext cx="4038600" cy="504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800" b="1">
              <a:latin typeface="Roboto"/>
            </a:rPr>
            <a:t>INVOICE</a:t>
          </a:r>
          <a:r>
            <a:rPr lang="en-US" sz="2800">
              <a:latin typeface="Roboto"/>
            </a:rPr>
            <a:t> </a:t>
          </a:r>
        </a:p>
      </xdr:txBody>
    </xdr:sp>
    <xdr:clientData/>
  </xdr:twoCellAnchor>
  <xdr:oneCellAnchor>
    <xdr:from>
      <xdr:col>3</xdr:col>
      <xdr:colOff>842754</xdr:colOff>
      <xdr:row>17</xdr:row>
      <xdr:rowOff>0</xdr:rowOff>
    </xdr:from>
    <xdr:ext cx="3240471" cy="800155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72E7C17-B599-4FA3-8D9C-16F46A3730F1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 rot="20558302">
          <a:off x="2282580" y="3364319"/>
          <a:ext cx="3240471" cy="800155"/>
        </a:xfrm>
        <a:prstGeom prst="rect">
          <a:avLst/>
        </a:prstGeom>
        <a:solidFill>
          <a:schemeClr val="bg1">
            <a:alpha val="8000"/>
          </a:schemeClr>
        </a:solidFill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4800" b="1" cap="none" spc="0">
              <a:ln w="10160">
                <a:solidFill>
                  <a:schemeClr val="tx1">
                    <a:lumMod val="50000"/>
                    <a:lumOff val="50000"/>
                  </a:schemeClr>
                </a:solidFill>
                <a:prstDash val="solid"/>
              </a:ln>
              <a:solidFill>
                <a:schemeClr val="bg1">
                  <a:lumMod val="95000"/>
                  <a:alpha val="12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Roboto"/>
            </a:rPr>
            <a:t>ORIGINAL</a:t>
          </a:r>
        </a:p>
      </xdr:txBody>
    </xdr:sp>
    <xdr:clientData/>
  </xdr:oneCellAnchor>
  <xdr:oneCellAnchor>
    <xdr:from>
      <xdr:col>6</xdr:col>
      <xdr:colOff>0</xdr:colOff>
      <xdr:row>43</xdr:row>
      <xdr:rowOff>76200</xdr:rowOff>
    </xdr:from>
    <xdr:ext cx="952500" cy="895297"/>
    <xdr:pic>
      <xdr:nvPicPr>
        <xdr:cNvPr id="9" name="Picture 8">
          <a:extLst>
            <a:ext uri="{FF2B5EF4-FFF2-40B4-BE49-F238E27FC236}">
              <a16:creationId xmlns:a16="http://schemas.microsoft.com/office/drawing/2014/main" id="{E7B32663-C57F-4F72-ADFB-324F525AE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7030A0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artisticPhotocopy/>
                  </a14:imgEffect>
                  <a14:imgEffect>
                    <a14:colorTemperature colorTemp="11200"/>
                  </a14:imgEffect>
                  <a14:imgEffect>
                    <a14:saturation sat="3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7924800"/>
          <a:ext cx="952500" cy="895297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44</xdr:row>
      <xdr:rowOff>38100</xdr:rowOff>
    </xdr:from>
    <xdr:ext cx="1333604" cy="950221"/>
    <xdr:pic>
      <xdr:nvPicPr>
        <xdr:cNvPr id="10" name="Picture 9">
          <a:extLst>
            <a:ext uri="{FF2B5EF4-FFF2-40B4-BE49-F238E27FC236}">
              <a16:creationId xmlns:a16="http://schemas.microsoft.com/office/drawing/2014/main" id="{BBB00B8A-F29F-4C81-BC50-01D8E90EE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biLevel thresh="25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5425" y="8077200"/>
          <a:ext cx="1333604" cy="95022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15F3E-6D26-4CA1-B89B-4AC3D701921A}">
  <dimension ref="A1:H51"/>
  <sheetViews>
    <sheetView tabSelected="1" topLeftCell="A6" zoomScale="86" zoomScaleNormal="86" workbookViewId="0">
      <selection activeCell="G37" sqref="G37"/>
    </sheetView>
  </sheetViews>
  <sheetFormatPr defaultRowHeight="15" x14ac:dyDescent="0.25"/>
  <cols>
    <col min="1" max="1" width="4.140625" bestFit="1" customWidth="1"/>
    <col min="2" max="2" width="9.28515625" customWidth="1"/>
    <col min="3" max="3" width="8.140625" customWidth="1"/>
    <col min="4" max="4" width="47.42578125" customWidth="1"/>
    <col min="5" max="5" width="5.140625" style="17" customWidth="1"/>
    <col min="6" max="6" width="6" customWidth="1"/>
    <col min="7" max="7" width="16.140625" customWidth="1"/>
    <col min="8" max="8" width="19.5703125" customWidth="1"/>
    <col min="9" max="9" width="6.28515625" customWidth="1"/>
  </cols>
  <sheetData>
    <row r="1" spans="1:8" x14ac:dyDescent="0.25">
      <c r="D1" s="58" t="s">
        <v>27</v>
      </c>
      <c r="E1" s="58"/>
      <c r="F1" s="58"/>
      <c r="G1" s="58"/>
      <c r="H1" s="58"/>
    </row>
    <row r="2" spans="1:8" x14ac:dyDescent="0.25">
      <c r="A2" s="1"/>
      <c r="B2" s="1"/>
      <c r="C2" s="1"/>
      <c r="D2" s="58"/>
      <c r="E2" s="58"/>
      <c r="F2" s="58"/>
      <c r="G2" s="58"/>
      <c r="H2" s="58"/>
    </row>
    <row r="3" spans="1:8" x14ac:dyDescent="0.25">
      <c r="A3" s="1"/>
      <c r="B3" s="1"/>
      <c r="C3" s="1"/>
      <c r="D3" s="58"/>
      <c r="E3" s="58"/>
      <c r="F3" s="58"/>
      <c r="G3" s="58"/>
      <c r="H3" s="58"/>
    </row>
    <row r="4" spans="1:8" ht="15.75" thickBot="1" x14ac:dyDescent="0.3">
      <c r="A4" s="2"/>
      <c r="B4" s="2"/>
      <c r="C4" s="2"/>
      <c r="D4" s="59"/>
      <c r="E4" s="59"/>
      <c r="F4" s="59"/>
      <c r="G4" s="59"/>
      <c r="H4" s="59"/>
    </row>
    <row r="5" spans="1:8" x14ac:dyDescent="0.25">
      <c r="G5" s="3"/>
    </row>
    <row r="6" spans="1:8" x14ac:dyDescent="0.25">
      <c r="A6" s="47"/>
      <c r="B6" s="47"/>
      <c r="F6" s="5"/>
      <c r="G6" s="6"/>
      <c r="H6" s="5"/>
    </row>
    <row r="7" spans="1:8" x14ac:dyDescent="0.25">
      <c r="E7" s="47" t="s">
        <v>0</v>
      </c>
      <c r="F7" s="47"/>
      <c r="G7" s="47"/>
      <c r="H7" s="7" t="s">
        <v>30</v>
      </c>
    </row>
    <row r="8" spans="1:8" x14ac:dyDescent="0.25">
      <c r="E8" s="47" t="s">
        <v>10</v>
      </c>
      <c r="F8" s="47"/>
      <c r="G8" s="47"/>
      <c r="H8" s="9" t="s">
        <v>31</v>
      </c>
    </row>
    <row r="9" spans="1:8" x14ac:dyDescent="0.25">
      <c r="A9" s="61" t="s">
        <v>13</v>
      </c>
      <c r="B9" s="61"/>
      <c r="C9" s="61"/>
      <c r="E9" s="4"/>
      <c r="F9" s="8"/>
      <c r="G9" s="10"/>
    </row>
    <row r="10" spans="1:8" x14ac:dyDescent="0.25">
      <c r="A10" s="73" t="s">
        <v>37</v>
      </c>
      <c r="B10" s="21"/>
      <c r="C10" s="21"/>
      <c r="D10" s="4"/>
      <c r="E10" s="47" t="s">
        <v>1</v>
      </c>
      <c r="F10" s="47"/>
      <c r="G10" s="47"/>
      <c r="H10" s="7" t="s">
        <v>25</v>
      </c>
    </row>
    <row r="11" spans="1:8" x14ac:dyDescent="0.25">
      <c r="A11" s="74" t="s">
        <v>36</v>
      </c>
      <c r="B11" s="21"/>
      <c r="C11" s="21"/>
      <c r="D11" s="21"/>
      <c r="E11" s="47" t="s">
        <v>15</v>
      </c>
      <c r="F11" s="47"/>
      <c r="G11" s="47"/>
      <c r="H11" t="s">
        <v>35</v>
      </c>
    </row>
    <row r="12" spans="1:8" x14ac:dyDescent="0.25">
      <c r="A12" s="47"/>
      <c r="B12" s="47"/>
      <c r="C12" s="47"/>
      <c r="F12" s="11"/>
      <c r="G12" s="3"/>
    </row>
    <row r="13" spans="1:8" x14ac:dyDescent="0.25">
      <c r="A13" s="60"/>
      <c r="B13" s="60"/>
      <c r="G13" s="3"/>
    </row>
    <row r="14" spans="1:8" x14ac:dyDescent="0.25">
      <c r="G14" s="3"/>
    </row>
    <row r="15" spans="1:8" x14ac:dyDescent="0.25">
      <c r="A15" s="26" t="s">
        <v>2</v>
      </c>
      <c r="B15" s="62" t="s">
        <v>16</v>
      </c>
      <c r="C15" s="62"/>
      <c r="D15" s="62"/>
      <c r="E15" s="24" t="s">
        <v>17</v>
      </c>
      <c r="F15" s="24" t="s">
        <v>3</v>
      </c>
      <c r="G15" s="23" t="s">
        <v>18</v>
      </c>
      <c r="H15" s="26" t="s">
        <v>19</v>
      </c>
    </row>
    <row r="16" spans="1:8" x14ac:dyDescent="0.25">
      <c r="A16" s="27">
        <f>ROW()-15</f>
        <v>1</v>
      </c>
      <c r="B16" s="55" t="s">
        <v>32</v>
      </c>
      <c r="C16" s="56"/>
      <c r="D16" s="57"/>
      <c r="E16" s="31">
        <v>2</v>
      </c>
      <c r="F16" s="31" t="s">
        <v>28</v>
      </c>
      <c r="G16" s="42">
        <v>800000</v>
      </c>
      <c r="H16" s="43">
        <f>G16*E16</f>
        <v>1600000</v>
      </c>
    </row>
    <row r="17" spans="1:8" ht="15" customHeight="1" x14ac:dyDescent="0.25">
      <c r="A17" s="27">
        <v>2</v>
      </c>
      <c r="B17" s="55" t="s">
        <v>33</v>
      </c>
      <c r="C17" s="56"/>
      <c r="D17" s="57"/>
      <c r="E17" s="31">
        <v>2</v>
      </c>
      <c r="F17" s="31" t="s">
        <v>28</v>
      </c>
      <c r="G17" s="42">
        <v>500000</v>
      </c>
      <c r="H17" s="43">
        <f t="shared" ref="H17:H18" si="0">G17*E17</f>
        <v>1000000</v>
      </c>
    </row>
    <row r="18" spans="1:8" ht="15.75" customHeight="1" x14ac:dyDescent="0.25">
      <c r="A18" s="27">
        <v>3</v>
      </c>
      <c r="B18" s="52" t="s">
        <v>34</v>
      </c>
      <c r="C18" s="53"/>
      <c r="D18" s="54"/>
      <c r="E18" s="27">
        <v>2</v>
      </c>
      <c r="F18" s="31" t="s">
        <v>28</v>
      </c>
      <c r="G18" s="40">
        <v>300000</v>
      </c>
      <c r="H18" s="43">
        <f t="shared" si="0"/>
        <v>600000</v>
      </c>
    </row>
    <row r="19" spans="1:8" ht="14.25" customHeight="1" x14ac:dyDescent="0.25">
      <c r="A19" s="27"/>
      <c r="B19" s="55"/>
      <c r="C19" s="56"/>
      <c r="D19" s="57"/>
      <c r="E19" s="27"/>
      <c r="F19" s="31"/>
      <c r="G19" s="40"/>
      <c r="H19" s="30"/>
    </row>
    <row r="20" spans="1:8" x14ac:dyDescent="0.25">
      <c r="A20" s="27"/>
      <c r="B20" s="28"/>
      <c r="C20" s="29"/>
      <c r="D20" s="29"/>
      <c r="E20" s="27"/>
      <c r="F20" s="31"/>
      <c r="G20" s="40"/>
      <c r="H20" s="30"/>
    </row>
    <row r="21" spans="1:8" x14ac:dyDescent="0.25">
      <c r="A21" s="27"/>
      <c r="B21" s="28"/>
      <c r="C21" s="29"/>
      <c r="D21" s="29"/>
      <c r="E21" s="27"/>
      <c r="F21" s="37"/>
      <c r="G21" s="40"/>
      <c r="H21" s="30"/>
    </row>
    <row r="22" spans="1:8" x14ac:dyDescent="0.25">
      <c r="A22" s="31"/>
      <c r="B22" s="28"/>
      <c r="C22" s="29"/>
      <c r="D22" s="29"/>
      <c r="E22" s="27"/>
      <c r="F22" s="37"/>
      <c r="G22" s="32"/>
      <c r="H22" s="30"/>
    </row>
    <row r="23" spans="1:8" x14ac:dyDescent="0.25">
      <c r="A23" s="31"/>
      <c r="B23" s="35"/>
      <c r="C23" s="36"/>
      <c r="D23" s="36"/>
      <c r="E23" s="27"/>
      <c r="F23" s="37"/>
      <c r="G23" s="34"/>
      <c r="H23" s="33"/>
    </row>
    <row r="24" spans="1:8" x14ac:dyDescent="0.25">
      <c r="A24" s="31"/>
      <c r="B24" s="35"/>
      <c r="C24" s="36"/>
      <c r="D24" s="36"/>
      <c r="E24" s="27"/>
      <c r="F24" s="37"/>
      <c r="G24" s="39"/>
      <c r="H24" s="38"/>
    </row>
    <row r="25" spans="1:8" x14ac:dyDescent="0.25">
      <c r="A25" s="31"/>
      <c r="B25" s="35"/>
      <c r="C25" s="36"/>
      <c r="D25" s="36"/>
      <c r="E25" s="27"/>
      <c r="F25" s="37"/>
      <c r="G25" s="39"/>
      <c r="H25" s="38"/>
    </row>
    <row r="26" spans="1:8" x14ac:dyDescent="0.25">
      <c r="G26" s="12" t="s">
        <v>8</v>
      </c>
      <c r="H26" s="18">
        <f>SUM(H16:H25)</f>
        <v>3200000</v>
      </c>
    </row>
    <row r="27" spans="1:8" ht="15.75" thickBot="1" x14ac:dyDescent="0.3">
      <c r="B27" s="49" t="s">
        <v>14</v>
      </c>
      <c r="C27" s="49"/>
      <c r="D27" s="49"/>
      <c r="G27" s="12" t="s">
        <v>26</v>
      </c>
      <c r="H27" s="18"/>
    </row>
    <row r="28" spans="1:8" x14ac:dyDescent="0.25">
      <c r="B28" s="63" t="s">
        <v>38</v>
      </c>
      <c r="C28" s="64"/>
      <c r="D28" s="65"/>
      <c r="G28" s="12" t="s">
        <v>29</v>
      </c>
      <c r="H28" s="18"/>
    </row>
    <row r="29" spans="1:8" x14ac:dyDescent="0.25">
      <c r="B29" s="66"/>
      <c r="C29" s="67"/>
      <c r="D29" s="68"/>
      <c r="G29" s="12" t="s">
        <v>9</v>
      </c>
      <c r="H29" s="41">
        <f>(H26-H28)</f>
        <v>3200000</v>
      </c>
    </row>
    <row r="30" spans="1:8" x14ac:dyDescent="0.25">
      <c r="B30" s="66"/>
      <c r="C30" s="67"/>
      <c r="D30" s="68"/>
      <c r="G30" s="19"/>
      <c r="H30" s="72"/>
    </row>
    <row r="31" spans="1:8" x14ac:dyDescent="0.25">
      <c r="B31" s="66"/>
      <c r="C31" s="67"/>
      <c r="D31" s="68"/>
      <c r="G31" s="19"/>
      <c r="H31" s="72"/>
    </row>
    <row r="32" spans="1:8" x14ac:dyDescent="0.25">
      <c r="B32" s="66"/>
      <c r="C32" s="67"/>
      <c r="D32" s="68"/>
      <c r="G32" s="19"/>
      <c r="H32" s="72"/>
    </row>
    <row r="33" spans="2:8" ht="15.75" thickBot="1" x14ac:dyDescent="0.3">
      <c r="B33" s="69"/>
      <c r="C33" s="70"/>
      <c r="D33" s="71"/>
      <c r="G33" s="19"/>
      <c r="H33" s="20"/>
    </row>
    <row r="34" spans="2:8" x14ac:dyDescent="0.25">
      <c r="G34" s="19"/>
      <c r="H34" s="20"/>
    </row>
    <row r="35" spans="2:8" x14ac:dyDescent="0.25">
      <c r="G35" s="19"/>
      <c r="H35" s="20"/>
    </row>
    <row r="36" spans="2:8" x14ac:dyDescent="0.25">
      <c r="B36" s="44" t="s">
        <v>23</v>
      </c>
      <c r="C36" s="44"/>
      <c r="D36" s="44"/>
      <c r="G36" s="3"/>
      <c r="H36" s="13"/>
    </row>
    <row r="37" spans="2:8" x14ac:dyDescent="0.25">
      <c r="B37" s="14" t="s">
        <v>4</v>
      </c>
      <c r="C37" s="4"/>
      <c r="D37" s="4"/>
      <c r="G37" s="3"/>
    </row>
    <row r="38" spans="2:8" x14ac:dyDescent="0.25">
      <c r="B38" s="15" t="s">
        <v>5</v>
      </c>
      <c r="C38" s="48" t="s">
        <v>11</v>
      </c>
      <c r="D38" s="48"/>
      <c r="G38" s="3"/>
      <c r="H38" s="13"/>
    </row>
    <row r="39" spans="2:8" x14ac:dyDescent="0.25">
      <c r="B39" t="s">
        <v>20</v>
      </c>
      <c r="C39" t="s">
        <v>12</v>
      </c>
      <c r="G39" s="3"/>
      <c r="H39" s="16"/>
    </row>
    <row r="40" spans="2:8" x14ac:dyDescent="0.25">
      <c r="B40" s="25" t="s">
        <v>22</v>
      </c>
      <c r="D40" s="7"/>
      <c r="G40" s="3"/>
      <c r="H40" s="16"/>
    </row>
    <row r="41" spans="2:8" x14ac:dyDescent="0.25">
      <c r="B41" t="s">
        <v>6</v>
      </c>
      <c r="C41" s="48" t="s">
        <v>21</v>
      </c>
      <c r="D41" s="48"/>
      <c r="G41" s="3"/>
    </row>
    <row r="42" spans="2:8" ht="15.75" x14ac:dyDescent="0.25">
      <c r="C42" s="48"/>
      <c r="D42" s="48"/>
      <c r="G42" s="50"/>
      <c r="H42" s="50"/>
    </row>
    <row r="43" spans="2:8" x14ac:dyDescent="0.25">
      <c r="B43" s="45"/>
      <c r="C43" s="45"/>
      <c r="D43" s="45"/>
      <c r="G43" s="46" t="s">
        <v>7</v>
      </c>
      <c r="H43" s="46"/>
    </row>
    <row r="44" spans="2:8" x14ac:dyDescent="0.25">
      <c r="B44" s="22"/>
      <c r="C44" s="22"/>
      <c r="D44" s="22"/>
      <c r="G44" s="3"/>
    </row>
    <row r="45" spans="2:8" x14ac:dyDescent="0.25">
      <c r="G45" s="3"/>
    </row>
    <row r="46" spans="2:8" x14ac:dyDescent="0.25">
      <c r="G46" s="3"/>
    </row>
    <row r="47" spans="2:8" x14ac:dyDescent="0.25">
      <c r="G47" s="3"/>
    </row>
    <row r="48" spans="2:8" x14ac:dyDescent="0.25">
      <c r="G48" s="3"/>
    </row>
    <row r="49" spans="2:8" x14ac:dyDescent="0.25">
      <c r="G49" s="3"/>
    </row>
    <row r="50" spans="2:8" x14ac:dyDescent="0.25">
      <c r="B50" s="47"/>
      <c r="C50" s="47"/>
      <c r="D50" s="47"/>
      <c r="G50" s="51" t="s">
        <v>4</v>
      </c>
      <c r="H50" s="51"/>
    </row>
    <row r="51" spans="2:8" x14ac:dyDescent="0.25">
      <c r="B51" s="4"/>
      <c r="G51" s="46" t="s">
        <v>24</v>
      </c>
      <c r="H51" s="46"/>
    </row>
  </sheetData>
  <mergeCells count="26">
    <mergeCell ref="D1:H4"/>
    <mergeCell ref="A6:B6"/>
    <mergeCell ref="B16:D16"/>
    <mergeCell ref="E11:G11"/>
    <mergeCell ref="E10:G10"/>
    <mergeCell ref="E8:G8"/>
    <mergeCell ref="E7:G7"/>
    <mergeCell ref="A9:C9"/>
    <mergeCell ref="A13:B13"/>
    <mergeCell ref="B15:D15"/>
    <mergeCell ref="B36:D36"/>
    <mergeCell ref="B43:D43"/>
    <mergeCell ref="G51:H51"/>
    <mergeCell ref="A12:C12"/>
    <mergeCell ref="C41:D41"/>
    <mergeCell ref="B50:D50"/>
    <mergeCell ref="B28:D33"/>
    <mergeCell ref="B27:D27"/>
    <mergeCell ref="G42:H42"/>
    <mergeCell ref="G43:H43"/>
    <mergeCell ref="G50:H50"/>
    <mergeCell ref="C38:D38"/>
    <mergeCell ref="C42:D42"/>
    <mergeCell ref="B18:D18"/>
    <mergeCell ref="B19:D19"/>
    <mergeCell ref="B17:D17"/>
  </mergeCells>
  <pageMargins left="0.4" right="0.25" top="0.75" bottom="0.75" header="0.3" footer="0.3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rozitech.co.id</dc:creator>
  <cp:lastModifiedBy>rozitechadmin</cp:lastModifiedBy>
  <cp:lastPrinted>2026-05-23T02:17:07Z</cp:lastPrinted>
  <dcterms:created xsi:type="dcterms:W3CDTF">2023-11-29T09:28:11Z</dcterms:created>
  <dcterms:modified xsi:type="dcterms:W3CDTF">2026-05-23T02:17:16Z</dcterms:modified>
</cp:coreProperties>
</file>